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Budget Summary" sheetId="2" state="visible" r:id="rId4"/>
    <sheet name="Procurement Check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<sst xmlns="http://schemas.openxmlformats.org/spreadsheetml/2006/main" count="323" uniqueCount="173">
  <si>
    <t xml:space="preserve">🌱  AUTONOMOUS FARM ROVER — Bill of Materials (Phase 3)</t>
  </si>
  <si>
    <t xml:space="preserve">Target Budget: $100–$200 USD  |  Market: US (Amazon / AliExpress / Adafruit / SparkFun)</t>
  </si>
  <si>
    <t xml:space="preserve">#</t>
  </si>
  <si>
    <t xml:space="preserve">Subsystem</t>
  </si>
  <si>
    <t xml:space="preserve">Component / Part</t>
  </si>
  <si>
    <t xml:space="preserve">Model / Spec</t>
  </si>
  <si>
    <t xml:space="preserve">Qty</t>
  </si>
  <si>
    <t xml:space="preserve">Unit Price ($)</t>
  </si>
  <si>
    <t xml:space="preserve">Total ($)</t>
  </si>
  <si>
    <t xml:space="preserve">Priority</t>
  </si>
  <si>
    <t xml:space="preserve">Source</t>
  </si>
  <si>
    <t xml:space="preserve">Notes</t>
  </si>
  <si>
    <t xml:space="preserve">  COMPUTE</t>
  </si>
  <si>
    <t xml:space="preserve">Compute</t>
  </si>
  <si>
    <t xml:space="preserve">Single-Board Computer</t>
  </si>
  <si>
    <t xml:space="preserve">Raspberry Pi 4 Model B (2GB)</t>
  </si>
  <si>
    <t xml:space="preserve">MUST HAVE</t>
  </si>
  <si>
    <t xml:space="preserve">CanaKit / Amazon</t>
  </si>
  <si>
    <t xml:space="preserve">Brain of rover – runs Python, vision, navigation</t>
  </si>
  <si>
    <t xml:space="preserve">MicroSD Card</t>
  </si>
  <si>
    <t xml:space="preserve">SanDisk 32GB Class 10</t>
  </si>
  <si>
    <t xml:space="preserve">Amazon</t>
  </si>
  <si>
    <t xml:space="preserve">OS + data storage for Pi</t>
  </si>
  <si>
    <t xml:space="preserve">Microcontroller</t>
  </si>
  <si>
    <t xml:space="preserve">Arduino Nano (ATmega328P)</t>
  </si>
  <si>
    <t xml:space="preserve">Amazon / AliExpress</t>
  </si>
  <si>
    <t xml:space="preserve">Reflex layer – sensors &amp; motor control</t>
  </si>
  <si>
    <t xml:space="preserve">  SENSORS</t>
  </si>
  <si>
    <t xml:space="preserve">Soil Sensors</t>
  </si>
  <si>
    <t xml:space="preserve">Capacitive Soil Moisture Sensor</t>
  </si>
  <si>
    <t xml:space="preserve">Capacitive v1.2 (analog)</t>
  </si>
  <si>
    <t xml:space="preserve">AliExpress</t>
  </si>
  <si>
    <t xml:space="preserve">More reliable than resistive; 2 for redundancy</t>
  </si>
  <si>
    <t xml:space="preserve">Waterproof Temp Sensor</t>
  </si>
  <si>
    <t xml:space="preserve">DS18B20 (1-Wire)</t>
  </si>
  <si>
    <t xml:space="preserve">Soil temperature, 1-Wire protocol</t>
  </si>
  <si>
    <t xml:space="preserve">Environment</t>
  </si>
  <si>
    <t xml:space="preserve">Temp/Humidity/Pressure</t>
  </si>
  <si>
    <t xml:space="preserve">BME280 (I2C breakout)</t>
  </si>
  <si>
    <t xml:space="preserve">Adafruit / Amazon</t>
  </si>
  <si>
    <t xml:space="preserve">Air temp, humidity, altitude</t>
  </si>
  <si>
    <t xml:space="preserve">  VISION</t>
  </si>
  <si>
    <t xml:space="preserve">Vision</t>
  </si>
  <si>
    <t xml:space="preserve">Camera Module</t>
  </si>
  <si>
    <t xml:space="preserve">Raspberry Pi Camera Module v2</t>
  </si>
  <si>
    <t xml:space="preserve">Amazon / PiShop</t>
  </si>
  <si>
    <t xml:space="preserve">8MP; native CSI interface to Pi</t>
  </si>
  <si>
    <t xml:space="preserve">Camera Flex Cable (extended)</t>
  </si>
  <si>
    <t xml:space="preserve">50cm Pi Camera Ribbon Cable</t>
  </si>
  <si>
    <t xml:space="preserve">NICE TO HAVE</t>
  </si>
  <si>
    <t xml:space="preserve">Allows camera mast mounting</t>
  </si>
  <si>
    <t xml:space="preserve">  NAVIGATION</t>
  </si>
  <si>
    <t xml:space="preserve">Navigation</t>
  </si>
  <si>
    <t xml:space="preserve">GPS Module</t>
  </si>
  <si>
    <t xml:space="preserve">NEO-6M GPS Module (UART)</t>
  </si>
  <si>
    <t xml:space="preserve">Waypoint navigation; ~2.5m accuracy</t>
  </si>
  <si>
    <t xml:space="preserve">IMU (Accel + Gyro + Mag)</t>
  </si>
  <si>
    <t xml:space="preserve">MPU-6050 (I2C)</t>
  </si>
  <si>
    <t xml:space="preserve">Heading + tilt detection</t>
  </si>
  <si>
    <t xml:space="preserve">Ultrasonic Sensor</t>
  </si>
  <si>
    <t xml:space="preserve">HC-SR04</t>
  </si>
  <si>
    <t xml:space="preserve">Front + rear obstacle detection</t>
  </si>
  <si>
    <t xml:space="preserve">  MOBILITY</t>
  </si>
  <si>
    <t xml:space="preserve">Mobility</t>
  </si>
  <si>
    <t xml:space="preserve">4WD Robot Chassis Kit</t>
  </si>
  <si>
    <t xml:space="preserve">4WD Smart Car Chassis + DC motors</t>
  </si>
  <si>
    <t xml:space="preserve">Includes motors, wheels, frame, screws</t>
  </si>
  <si>
    <t xml:space="preserve">Motor Driver</t>
  </si>
  <si>
    <t xml:space="preserve">L298N Dual H-Bridge Module</t>
  </si>
  <si>
    <t xml:space="preserve">Controls 4 DC motors (2 per channel)</t>
  </si>
  <si>
    <t xml:space="preserve">Wheel Encoders</t>
  </si>
  <si>
    <t xml:space="preserve">LM393 Speed Sensor (slot type)</t>
  </si>
  <si>
    <t xml:space="preserve">Odometry for dead-reckoning nav</t>
  </si>
  <si>
    <t xml:space="preserve">  POWER</t>
  </si>
  <si>
    <t xml:space="preserve">Power</t>
  </si>
  <si>
    <t xml:space="preserve">LiPo Battery Pack</t>
  </si>
  <si>
    <t xml:space="preserve">3S 5200mAh 11.1V LiPo</t>
  </si>
  <si>
    <t xml:space="preserve">Amazon / HobbyKing</t>
  </si>
  <si>
    <t xml:space="preserve">Main power source; ~3–4hr runtime estimate</t>
  </si>
  <si>
    <t xml:space="preserve">Buck Converter (5V)</t>
  </si>
  <si>
    <t xml:space="preserve">LM2596 Step-Down Module</t>
  </si>
  <si>
    <t xml:space="preserve">5V for Pi + Arduino</t>
  </si>
  <si>
    <t xml:space="preserve">Buck Converter (3.3V)</t>
  </si>
  <si>
    <t xml:space="preserve">AMS1117 3.3V Module</t>
  </si>
  <si>
    <t xml:space="preserve">3.3V for sensors</t>
  </si>
  <si>
    <t xml:space="preserve">Power Switch</t>
  </si>
  <si>
    <t xml:space="preserve">Rocker Switch (20A rated)</t>
  </si>
  <si>
    <t xml:space="preserve">Main kill switch</t>
  </si>
  <si>
    <t xml:space="preserve">Inline Fuse Holder + Fuses</t>
  </si>
  <si>
    <t xml:space="preserve">5A &amp; 10A fuses</t>
  </si>
  <si>
    <t xml:space="preserve">Safety – protects battery circuit</t>
  </si>
  <si>
    <t xml:space="preserve">  COMMS &amp; WIRING</t>
  </si>
  <si>
    <t xml:space="preserve">Communication</t>
  </si>
  <si>
    <t xml:space="preserve">USB A to Mini-B Cable</t>
  </si>
  <si>
    <t xml:space="preserve">Pi ↔ Arduino Serial Link</t>
  </si>
  <si>
    <t xml:space="preserve">Serial comms between Pi and Arduino</t>
  </si>
  <si>
    <t xml:space="preserve">Wiring</t>
  </si>
  <si>
    <t xml:space="preserve">Jumper Wire Kit</t>
  </si>
  <si>
    <t xml:space="preserve">M-M / M-F / F-F 120pcs</t>
  </si>
  <si>
    <t xml:space="preserve">Prototyping connections</t>
  </si>
  <si>
    <t xml:space="preserve">Breadboard</t>
  </si>
  <si>
    <t xml:space="preserve">400-tie Mini Breadboard</t>
  </si>
  <si>
    <t xml:space="preserve">Sensor/circuit prototyping</t>
  </si>
  <si>
    <t xml:space="preserve">PCB Prototype Board</t>
  </si>
  <si>
    <t xml:space="preserve">Double-sided 5x7cm</t>
  </si>
  <si>
    <t xml:space="preserve">For permanent sensor wiring</t>
  </si>
  <si>
    <t xml:space="preserve">Heat Shrink Tubing Kit</t>
  </si>
  <si>
    <t xml:space="preserve">Assorted sizes</t>
  </si>
  <si>
    <t xml:space="preserve">Wire insulation &amp; weather protection</t>
  </si>
  <si>
    <t xml:space="preserve">  ENCLOSURE &amp; MISC</t>
  </si>
  <si>
    <t xml:space="preserve">Enclosure</t>
  </si>
  <si>
    <t xml:space="preserve">Waterproof Project Box</t>
  </si>
  <si>
    <t xml:space="preserve">IP65 ABS Box ~200x120mm</t>
  </si>
  <si>
    <t xml:space="preserve">Houses Pi, Arduino, power electronics</t>
  </si>
  <si>
    <t xml:space="preserve">Misc</t>
  </si>
  <si>
    <t xml:space="preserve">M3 Screw/Standoff Kit</t>
  </si>
  <si>
    <t xml:space="preserve">M3 Brass Standoff Assortment</t>
  </si>
  <si>
    <t xml:space="preserve">Mounting boards and components</t>
  </si>
  <si>
    <t xml:space="preserve">Cable Ties + Velcro Strips</t>
  </si>
  <si>
    <t xml:space="preserve">Assorted pack</t>
  </si>
  <si>
    <t xml:space="preserve">Cable management</t>
  </si>
  <si>
    <t xml:space="preserve">TOTAL ESTIMATED COST</t>
  </si>
  <si>
    <t xml:space="preserve">MUST HAVE items only</t>
  </si>
  <si>
    <t xml:space="preserve">💡  Blue = Hardcoded input (you can edit) | Black = Calculated formula | Priority: MUST HAVE = core build, NICE TO HAVE = adds capability</t>
  </si>
  <si>
    <t xml:space="preserve">🌱  FARM ROVER — Budget Summary</t>
  </si>
  <si>
    <t xml:space="preserve">All values linked from BOM sheet — edit unit prices there</t>
  </si>
  <si>
    <t xml:space="preserve">Category</t>
  </si>
  <si>
    <t xml:space="preserve">Subtotal ($)</t>
  </si>
  <si>
    <t xml:space="preserve">% of Budget</t>
  </si>
  <si>
    <t xml:space="preserve">Sensors</t>
  </si>
  <si>
    <t xml:space="preserve">Comms &amp; Wiring</t>
  </si>
  <si>
    <t xml:space="preserve">Enclosure &amp; Misc</t>
  </si>
  <si>
    <t xml:space="preserve">GRAND TOTAL</t>
  </si>
  <si>
    <t xml:space="preserve">100.0%</t>
  </si>
  <si>
    <t xml:space="preserve">BUDGET STATUS</t>
  </si>
  <si>
    <t xml:space="preserve">Target Budget</t>
  </si>
  <si>
    <t xml:space="preserve">$200.00</t>
  </si>
  <si>
    <t xml:space="preserve">Total Cost</t>
  </si>
  <si>
    <t xml:space="preserve">Remaining / Overage</t>
  </si>
  <si>
    <t xml:space="preserve">Status</t>
  </si>
  <si>
    <t xml:space="preserve">🛒  AUTONOMOUS FARM ROVER — Procurement Checklist</t>
  </si>
  <si>
    <t xml:space="preserve">✓</t>
  </si>
  <si>
    <t xml:space="preserve">Component</t>
  </si>
  <si>
    <t xml:space="preserve">Est. Price ($)</t>
  </si>
  <si>
    <t xml:space="preserve">Link / Notes</t>
  </si>
  <si>
    <t xml:space="preserve">☐</t>
  </si>
  <si>
    <t xml:space="preserve">Raspberry Pi 4 (2GB)</t>
  </si>
  <si>
    <t xml:space="preserve">Amazon / CanaKit</t>
  </si>
  <si>
    <t xml:space="preserve">Not Ordered</t>
  </si>
  <si>
    <t xml:space="preserve">SanDisk 32GB MicroSD</t>
  </si>
  <si>
    <t xml:space="preserve">Arduino Nano</t>
  </si>
  <si>
    <t xml:space="preserve">Capacitive Moisture Sensor x2</t>
  </si>
  <si>
    <t xml:space="preserve">DS18B20 Temp Sensor x2</t>
  </si>
  <si>
    <t xml:space="preserve">BME280 Module</t>
  </si>
  <si>
    <t xml:space="preserve">Pi Camera Module v2</t>
  </si>
  <si>
    <t xml:space="preserve">Camera Ribbon 50cm</t>
  </si>
  <si>
    <t xml:space="preserve">NEO-6M GPS Module</t>
  </si>
  <si>
    <t xml:space="preserve">MPU-6050 IMU</t>
  </si>
  <si>
    <t xml:space="preserve">HC-SR04 Ultrasonic x2</t>
  </si>
  <si>
    <t xml:space="preserve">4WD Chassis Kit</t>
  </si>
  <si>
    <t xml:space="preserve">L298N Motor Driver</t>
  </si>
  <si>
    <t xml:space="preserve">LM393 Wheel Encoder x4</t>
  </si>
  <si>
    <t xml:space="preserve">3S 5200mAh LiPo Battery</t>
  </si>
  <si>
    <t xml:space="preserve">LM2596 Buck 5V x2</t>
  </si>
  <si>
    <t xml:space="preserve">Rocker Switch</t>
  </si>
  <si>
    <t xml:space="preserve">Fuse Holder + Fuses</t>
  </si>
  <si>
    <t xml:space="preserve">USB A-MiniB Cable</t>
  </si>
  <si>
    <t xml:space="preserve">Mini Breadboard</t>
  </si>
  <si>
    <t xml:space="preserve">PCB Prototype Board x2</t>
  </si>
  <si>
    <t xml:space="preserve">Heat Shrink Kit</t>
  </si>
  <si>
    <t xml:space="preserve">IP65 Waterproof Box</t>
  </si>
  <si>
    <t xml:space="preserve">M3 Standoff/Screw Kit</t>
  </si>
  <si>
    <t xml:space="preserve">Cable Ties + Velcro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</si>
</sst>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sz val="10"/>
      <color rgb="FF7D660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2"/>
      <name val="Arial"/>
      <family val="0"/>
      <charset val="1"/>
    </font>
    <font>
      <sz val="10"/>
      <color rgb="FFE74C3C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5276"/>
        <bgColor rgb="FF1B4F72"/>
      </patternFill>
    </fill>
    <fill>
      <patternFill patternType="solid">
        <fgColor rgb="FF1E8449"/>
        <bgColor rgb="FF117A65"/>
      </patternFill>
    </fill>
    <fill>
      <patternFill patternType="solid">
        <fgColor rgb="FF154360"/>
        <bgColor rgb="FF1B4F72"/>
      </patternFill>
    </fill>
    <fill>
      <patternFill patternType="solid">
        <fgColor rgb="FFFFFFFF"/>
        <bgColor rgb="FFFFFFCC"/>
      </patternFill>
    </fill>
    <fill>
      <patternFill patternType="solid">
        <fgColor rgb="FFD5F5E3"/>
        <bgColor rgb="FFCCFFFF"/>
      </patternFill>
    </fill>
    <fill>
      <patternFill patternType="solid">
        <fgColor rgb="FF117A65"/>
        <bgColor rgb="FF008080"/>
      </patternFill>
    </fill>
    <fill>
      <patternFill patternType="solid">
        <fgColor rgb="FF784212"/>
        <bgColor rgb="FF6E2F3E"/>
      </patternFill>
    </fill>
    <fill>
      <patternFill patternType="solid">
        <fgColor rgb="FF6E2F3E"/>
        <bgColor rgb="FF784212"/>
      </patternFill>
    </fill>
    <fill>
      <patternFill patternType="solid">
        <fgColor rgb="FF4A235A"/>
        <bgColor rgb="FF6E2F3E"/>
      </patternFill>
    </fill>
    <fill>
      <patternFill patternType="solid">
        <fgColor rgb="FF1B4F72"/>
        <bgColor rgb="FF1A5276"/>
      </patternFill>
    </fill>
    <fill>
      <patternFill patternType="solid">
        <fgColor rgb="FF1C5032"/>
        <bgColor rgb="FF154360"/>
      </patternFill>
    </fill>
    <fill>
      <patternFill patternType="solid">
        <fgColor rgb="FFA9DFBF"/>
        <bgColor rgb="FF99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117A65"/>
      <rgbColor rgb="FFA9DFBF"/>
      <rgbColor rgb="FF808080"/>
      <rgbColor rgb="FF9999FF"/>
      <rgbColor rgb="FF6E2F3E"/>
      <rgbColor rgb="FFFFFFCC"/>
      <rgbColor rgb="FFCCFFFF"/>
      <rgbColor rgb="FF660066"/>
      <rgbColor rgb="FFFF8080"/>
      <rgbColor rgb="FF1A527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74C3C"/>
      <rgbColor rgb="FF555555"/>
      <rgbColor rgb="FFAAAAAA"/>
      <rgbColor rgb="FF154360"/>
      <rgbColor rgb="FF1E8449"/>
      <rgbColor rgb="FF003300"/>
      <rgbColor rgb="FF1C5032"/>
      <rgbColor rgb="FF784212"/>
      <rgbColor rgb="FF993366"/>
      <rgbColor rgb="FF1B4F72"/>
      <rgbColor rgb="FF4A23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6"/>
    <col collapsed="false" customWidth="true" hidden="false" outlineLevel="0" max="3" min="3" style="1" width="28"/>
    <col collapsed="false" customWidth="true" hidden="false" outlineLevel="0" max="4" min="4" style="1" width="24"/>
    <col collapsed="false" customWidth="true" hidden="false" outlineLevel="0" max="5" min="5" style="1" width="5"/>
    <col collapsed="false" customWidth="true" hidden="false" outlineLevel="0" max="6" min="6" style="1" width="13"/>
    <col collapsed="false" customWidth="true" hidden="false" outlineLevel="0" max="8" min="7" style="1" width="10"/>
    <col collapsed="false" customWidth="true" hidden="false" outlineLevel="0" max="9" min="9" style="1" width="14"/>
    <col collapsed="false" customWidth="true" hidden="false" outlineLevel="0" max="10" min="10" style="1" width="30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customFormat="false" ht="18" hidden="false" customHeight="true" outlineLevel="0" collapsed="false">
      <c r="A4" s="5" t="s">
        <v>12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19.5" hidden="false" customHeight="true" outlineLevel="0" collapsed="false">
      <c r="A5" s="6" t="n">
        <v>1</v>
      </c>
      <c r="B5" s="7" t="s">
        <v>13</v>
      </c>
      <c r="C5" s="7" t="s">
        <v>14</v>
      </c>
      <c r="D5" s="7" t="s">
        <v>15</v>
      </c>
      <c r="E5" s="6" t="n">
        <v>1</v>
      </c>
      <c r="F5" s="8" t="n">
        <v>45</v>
      </c>
      <c r="G5" s="9" t="n">
        <f aca="false">E5*F5</f>
        <v>45</v>
      </c>
      <c r="H5" s="10" t="s">
        <v>16</v>
      </c>
      <c r="I5" s="7" t="s">
        <v>17</v>
      </c>
      <c r="J5" s="7" t="s">
        <v>18</v>
      </c>
    </row>
    <row r="6" customFormat="false" ht="19.5" hidden="false" customHeight="true" outlineLevel="0" collapsed="false">
      <c r="A6" s="11" t="n">
        <v>2</v>
      </c>
      <c r="B6" s="12" t="s">
        <v>13</v>
      </c>
      <c r="C6" s="12" t="s">
        <v>19</v>
      </c>
      <c r="D6" s="12" t="s">
        <v>20</v>
      </c>
      <c r="E6" s="11" t="n">
        <v>1</v>
      </c>
      <c r="F6" s="13" t="n">
        <v>8</v>
      </c>
      <c r="G6" s="14" t="n">
        <f aca="false">E6*F6</f>
        <v>8</v>
      </c>
      <c r="H6" s="15" t="s">
        <v>16</v>
      </c>
      <c r="I6" s="12" t="s">
        <v>21</v>
      </c>
      <c r="J6" s="12" t="s">
        <v>22</v>
      </c>
    </row>
    <row r="7" customFormat="false" ht="19.5" hidden="false" customHeight="true" outlineLevel="0" collapsed="false">
      <c r="A7" s="6" t="n">
        <v>3</v>
      </c>
      <c r="B7" s="7" t="s">
        <v>13</v>
      </c>
      <c r="C7" s="7" t="s">
        <v>23</v>
      </c>
      <c r="D7" s="7" t="s">
        <v>24</v>
      </c>
      <c r="E7" s="6" t="n">
        <v>1</v>
      </c>
      <c r="F7" s="8" t="n">
        <v>5</v>
      </c>
      <c r="G7" s="9" t="n">
        <f aca="false">E7*F7</f>
        <v>5</v>
      </c>
      <c r="H7" s="10" t="s">
        <v>16</v>
      </c>
      <c r="I7" s="7" t="s">
        <v>25</v>
      </c>
      <c r="J7" s="7" t="s">
        <v>26</v>
      </c>
    </row>
    <row r="8" customFormat="false" ht="18" hidden="false" customHeight="true" outlineLevel="0" collapsed="false">
      <c r="A8" s="16" t="s">
        <v>27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9.5" hidden="false" customHeight="true" outlineLevel="0" collapsed="false">
      <c r="A9" s="6" t="n">
        <v>4</v>
      </c>
      <c r="B9" s="7" t="s">
        <v>28</v>
      </c>
      <c r="C9" s="7" t="s">
        <v>29</v>
      </c>
      <c r="D9" s="7" t="s">
        <v>30</v>
      </c>
      <c r="E9" s="6" t="n">
        <v>2</v>
      </c>
      <c r="F9" s="8" t="n">
        <v>2.5</v>
      </c>
      <c r="G9" s="9" t="n">
        <f aca="false">E9*F9</f>
        <v>5</v>
      </c>
      <c r="H9" s="10" t="s">
        <v>16</v>
      </c>
      <c r="I9" s="7" t="s">
        <v>31</v>
      </c>
      <c r="J9" s="7" t="s">
        <v>32</v>
      </c>
    </row>
    <row r="10" customFormat="false" ht="19.5" hidden="false" customHeight="true" outlineLevel="0" collapsed="false">
      <c r="A10" s="11" t="n">
        <v>5</v>
      </c>
      <c r="B10" s="12" t="s">
        <v>28</v>
      </c>
      <c r="C10" s="12" t="s">
        <v>33</v>
      </c>
      <c r="D10" s="12" t="s">
        <v>34</v>
      </c>
      <c r="E10" s="11" t="n">
        <v>2</v>
      </c>
      <c r="F10" s="13" t="n">
        <v>2</v>
      </c>
      <c r="G10" s="14" t="n">
        <f aca="false">E10*F10</f>
        <v>4</v>
      </c>
      <c r="H10" s="15" t="s">
        <v>16</v>
      </c>
      <c r="I10" s="12" t="s">
        <v>25</v>
      </c>
      <c r="J10" s="12" t="s">
        <v>35</v>
      </c>
    </row>
    <row r="11" customFormat="false" ht="19.5" hidden="false" customHeight="true" outlineLevel="0" collapsed="false">
      <c r="A11" s="6" t="n">
        <v>6</v>
      </c>
      <c r="B11" s="7" t="s">
        <v>36</v>
      </c>
      <c r="C11" s="7" t="s">
        <v>37</v>
      </c>
      <c r="D11" s="7" t="s">
        <v>38</v>
      </c>
      <c r="E11" s="6" t="n">
        <v>1</v>
      </c>
      <c r="F11" s="8" t="n">
        <v>5</v>
      </c>
      <c r="G11" s="9" t="n">
        <f aca="false">E11*F11</f>
        <v>5</v>
      </c>
      <c r="H11" s="10" t="s">
        <v>16</v>
      </c>
      <c r="I11" s="7" t="s">
        <v>39</v>
      </c>
      <c r="J11" s="7" t="s">
        <v>40</v>
      </c>
    </row>
    <row r="12" customFormat="false" ht="18" hidden="false" customHeight="true" outlineLevel="0" collapsed="false">
      <c r="A12" s="17" t="s">
        <v>41</v>
      </c>
      <c r="B12" s="17"/>
      <c r="C12" s="17"/>
      <c r="D12" s="17"/>
      <c r="E12" s="17"/>
      <c r="F12" s="17"/>
      <c r="G12" s="17"/>
      <c r="H12" s="17"/>
      <c r="I12" s="17"/>
      <c r="J12" s="17"/>
    </row>
    <row r="13" customFormat="false" ht="19.5" hidden="false" customHeight="true" outlineLevel="0" collapsed="false">
      <c r="A13" s="6" t="n">
        <v>7</v>
      </c>
      <c r="B13" s="7" t="s">
        <v>42</v>
      </c>
      <c r="C13" s="7" t="s">
        <v>43</v>
      </c>
      <c r="D13" s="7" t="s">
        <v>44</v>
      </c>
      <c r="E13" s="6" t="n">
        <v>1</v>
      </c>
      <c r="F13" s="8" t="n">
        <v>25</v>
      </c>
      <c r="G13" s="9" t="n">
        <f aca="false">E13*F13</f>
        <v>25</v>
      </c>
      <c r="H13" s="10" t="s">
        <v>16</v>
      </c>
      <c r="I13" s="7" t="s">
        <v>45</v>
      </c>
      <c r="J13" s="7" t="s">
        <v>46</v>
      </c>
    </row>
    <row r="14" customFormat="false" ht="19.5" hidden="false" customHeight="true" outlineLevel="0" collapsed="false">
      <c r="A14" s="11" t="n">
        <v>8</v>
      </c>
      <c r="B14" s="12" t="s">
        <v>42</v>
      </c>
      <c r="C14" s="12" t="s">
        <v>47</v>
      </c>
      <c r="D14" s="12" t="s">
        <v>48</v>
      </c>
      <c r="E14" s="11" t="n">
        <v>1</v>
      </c>
      <c r="F14" s="13" t="n">
        <v>2</v>
      </c>
      <c r="G14" s="14" t="n">
        <f aca="false">E14*F14</f>
        <v>2</v>
      </c>
      <c r="H14" s="18" t="s">
        <v>49</v>
      </c>
      <c r="I14" s="12" t="s">
        <v>21</v>
      </c>
      <c r="J14" s="12" t="s">
        <v>50</v>
      </c>
    </row>
    <row r="15" customFormat="false" ht="18" hidden="false" customHeight="true" outlineLevel="0" collapsed="false">
      <c r="A15" s="19" t="s">
        <v>51</v>
      </c>
      <c r="B15" s="19"/>
      <c r="C15" s="19"/>
      <c r="D15" s="19"/>
      <c r="E15" s="19"/>
      <c r="F15" s="19"/>
      <c r="G15" s="19"/>
      <c r="H15" s="19"/>
      <c r="I15" s="19"/>
      <c r="J15" s="19"/>
    </row>
    <row r="16" customFormat="false" ht="19.5" hidden="false" customHeight="true" outlineLevel="0" collapsed="false">
      <c r="A16" s="11" t="n">
        <v>9</v>
      </c>
      <c r="B16" s="12" t="s">
        <v>52</v>
      </c>
      <c r="C16" s="12" t="s">
        <v>53</v>
      </c>
      <c r="D16" s="12" t="s">
        <v>54</v>
      </c>
      <c r="E16" s="11" t="n">
        <v>1</v>
      </c>
      <c r="F16" s="13" t="n">
        <v>7</v>
      </c>
      <c r="G16" s="14" t="n">
        <f aca="false">E16*F16</f>
        <v>7</v>
      </c>
      <c r="H16" s="15" t="s">
        <v>16</v>
      </c>
      <c r="I16" s="12" t="s">
        <v>25</v>
      </c>
      <c r="J16" s="12" t="s">
        <v>55</v>
      </c>
    </row>
    <row r="17" customFormat="false" ht="19.5" hidden="false" customHeight="true" outlineLevel="0" collapsed="false">
      <c r="A17" s="6" t="n">
        <v>10</v>
      </c>
      <c r="B17" s="7" t="s">
        <v>52</v>
      </c>
      <c r="C17" s="7" t="s">
        <v>56</v>
      </c>
      <c r="D17" s="7" t="s">
        <v>57</v>
      </c>
      <c r="E17" s="6" t="n">
        <v>1</v>
      </c>
      <c r="F17" s="8" t="n">
        <v>3</v>
      </c>
      <c r="G17" s="9" t="n">
        <f aca="false">E17*F17</f>
        <v>3</v>
      </c>
      <c r="H17" s="10" t="s">
        <v>16</v>
      </c>
      <c r="I17" s="7" t="s">
        <v>25</v>
      </c>
      <c r="J17" s="7" t="s">
        <v>58</v>
      </c>
    </row>
    <row r="18" customFormat="false" ht="19.5" hidden="false" customHeight="true" outlineLevel="0" collapsed="false">
      <c r="A18" s="11" t="n">
        <v>11</v>
      </c>
      <c r="B18" s="12" t="s">
        <v>52</v>
      </c>
      <c r="C18" s="12" t="s">
        <v>59</v>
      </c>
      <c r="D18" s="12" t="s">
        <v>60</v>
      </c>
      <c r="E18" s="11" t="n">
        <v>2</v>
      </c>
      <c r="F18" s="13" t="n">
        <v>1.5</v>
      </c>
      <c r="G18" s="14" t="n">
        <f aca="false">E18*F18</f>
        <v>3</v>
      </c>
      <c r="H18" s="15" t="s">
        <v>16</v>
      </c>
      <c r="I18" s="12" t="s">
        <v>21</v>
      </c>
      <c r="J18" s="12" t="s">
        <v>61</v>
      </c>
    </row>
    <row r="19" customFormat="false" ht="18" hidden="false" customHeight="true" outlineLevel="0" collapsed="false">
      <c r="A19" s="20" t="s">
        <v>62</v>
      </c>
      <c r="B19" s="20"/>
      <c r="C19" s="20"/>
      <c r="D19" s="20"/>
      <c r="E19" s="20"/>
      <c r="F19" s="20"/>
      <c r="G19" s="20"/>
      <c r="H19" s="20"/>
      <c r="I19" s="20"/>
      <c r="J19" s="20"/>
    </row>
    <row r="20" customFormat="false" ht="19.5" hidden="false" customHeight="true" outlineLevel="0" collapsed="false">
      <c r="A20" s="11" t="n">
        <v>12</v>
      </c>
      <c r="B20" s="12" t="s">
        <v>63</v>
      </c>
      <c r="C20" s="12" t="s">
        <v>64</v>
      </c>
      <c r="D20" s="12" t="s">
        <v>65</v>
      </c>
      <c r="E20" s="11" t="n">
        <v>1</v>
      </c>
      <c r="F20" s="13" t="n">
        <v>18</v>
      </c>
      <c r="G20" s="14" t="n">
        <f aca="false">E20*F20</f>
        <v>18</v>
      </c>
      <c r="H20" s="15" t="s">
        <v>16</v>
      </c>
      <c r="I20" s="12" t="s">
        <v>25</v>
      </c>
      <c r="J20" s="12" t="s">
        <v>66</v>
      </c>
    </row>
    <row r="21" customFormat="false" ht="19.5" hidden="false" customHeight="true" outlineLevel="0" collapsed="false">
      <c r="A21" s="6" t="n">
        <v>13</v>
      </c>
      <c r="B21" s="7" t="s">
        <v>63</v>
      </c>
      <c r="C21" s="7" t="s">
        <v>67</v>
      </c>
      <c r="D21" s="7" t="s">
        <v>68</v>
      </c>
      <c r="E21" s="6" t="n">
        <v>1</v>
      </c>
      <c r="F21" s="8" t="n">
        <v>4</v>
      </c>
      <c r="G21" s="9" t="n">
        <f aca="false">E21*F21</f>
        <v>4</v>
      </c>
      <c r="H21" s="10" t="s">
        <v>16</v>
      </c>
      <c r="I21" s="7" t="s">
        <v>21</v>
      </c>
      <c r="J21" s="7" t="s">
        <v>69</v>
      </c>
    </row>
    <row r="22" customFormat="false" ht="19.5" hidden="false" customHeight="true" outlineLevel="0" collapsed="false">
      <c r="A22" s="11" t="n">
        <v>14</v>
      </c>
      <c r="B22" s="12" t="s">
        <v>63</v>
      </c>
      <c r="C22" s="12" t="s">
        <v>70</v>
      </c>
      <c r="D22" s="12" t="s">
        <v>71</v>
      </c>
      <c r="E22" s="11" t="n">
        <v>4</v>
      </c>
      <c r="F22" s="13" t="n">
        <v>1</v>
      </c>
      <c r="G22" s="14" t="n">
        <f aca="false">E22*F22</f>
        <v>4</v>
      </c>
      <c r="H22" s="18" t="s">
        <v>49</v>
      </c>
      <c r="I22" s="12" t="s">
        <v>31</v>
      </c>
      <c r="J22" s="12" t="s">
        <v>72</v>
      </c>
    </row>
    <row r="23" customFormat="false" ht="18" hidden="false" customHeight="true" outlineLevel="0" collapsed="false">
      <c r="A23" s="21" t="s">
        <v>73</v>
      </c>
      <c r="B23" s="21"/>
      <c r="C23" s="21"/>
      <c r="D23" s="21"/>
      <c r="E23" s="21"/>
      <c r="F23" s="21"/>
      <c r="G23" s="21"/>
      <c r="H23" s="21"/>
      <c r="I23" s="21"/>
      <c r="J23" s="21"/>
    </row>
    <row r="24" customFormat="false" ht="19.5" hidden="false" customHeight="true" outlineLevel="0" collapsed="false">
      <c r="A24" s="11" t="n">
        <v>15</v>
      </c>
      <c r="B24" s="12" t="s">
        <v>74</v>
      </c>
      <c r="C24" s="12" t="s">
        <v>75</v>
      </c>
      <c r="D24" s="12" t="s">
        <v>76</v>
      </c>
      <c r="E24" s="11" t="n">
        <v>1</v>
      </c>
      <c r="F24" s="13" t="n">
        <v>22</v>
      </c>
      <c r="G24" s="14" t="n">
        <f aca="false">E24*F24</f>
        <v>22</v>
      </c>
      <c r="H24" s="15" t="s">
        <v>16</v>
      </c>
      <c r="I24" s="12" t="s">
        <v>77</v>
      </c>
      <c r="J24" s="12" t="s">
        <v>78</v>
      </c>
    </row>
    <row r="25" customFormat="false" ht="19.5" hidden="false" customHeight="true" outlineLevel="0" collapsed="false">
      <c r="A25" s="6" t="n">
        <v>16</v>
      </c>
      <c r="B25" s="7" t="s">
        <v>74</v>
      </c>
      <c r="C25" s="7" t="s">
        <v>79</v>
      </c>
      <c r="D25" s="7" t="s">
        <v>80</v>
      </c>
      <c r="E25" s="6" t="n">
        <v>2</v>
      </c>
      <c r="F25" s="8" t="n">
        <v>1.5</v>
      </c>
      <c r="G25" s="9" t="n">
        <f aca="false">E25*F25</f>
        <v>3</v>
      </c>
      <c r="H25" s="10" t="s">
        <v>16</v>
      </c>
      <c r="I25" s="7" t="s">
        <v>25</v>
      </c>
      <c r="J25" s="7" t="s">
        <v>81</v>
      </c>
    </row>
    <row r="26" customFormat="false" ht="19.5" hidden="false" customHeight="true" outlineLevel="0" collapsed="false">
      <c r="A26" s="11" t="n">
        <v>17</v>
      </c>
      <c r="B26" s="12" t="s">
        <v>74</v>
      </c>
      <c r="C26" s="12" t="s">
        <v>82</v>
      </c>
      <c r="D26" s="12" t="s">
        <v>83</v>
      </c>
      <c r="E26" s="11" t="n">
        <v>1</v>
      </c>
      <c r="F26" s="13" t="n">
        <v>0.8</v>
      </c>
      <c r="G26" s="14" t="n">
        <f aca="false">E26*F26</f>
        <v>0.8</v>
      </c>
      <c r="H26" s="15" t="s">
        <v>16</v>
      </c>
      <c r="I26" s="12" t="s">
        <v>31</v>
      </c>
      <c r="J26" s="12" t="s">
        <v>84</v>
      </c>
    </row>
    <row r="27" customFormat="false" ht="19.5" hidden="false" customHeight="true" outlineLevel="0" collapsed="false">
      <c r="A27" s="6" t="n">
        <v>18</v>
      </c>
      <c r="B27" s="7" t="s">
        <v>74</v>
      </c>
      <c r="C27" s="7" t="s">
        <v>85</v>
      </c>
      <c r="D27" s="7" t="s">
        <v>86</v>
      </c>
      <c r="E27" s="6" t="n">
        <v>1</v>
      </c>
      <c r="F27" s="8" t="n">
        <v>1.5</v>
      </c>
      <c r="G27" s="9" t="n">
        <f aca="false">E27*F27</f>
        <v>1.5</v>
      </c>
      <c r="H27" s="10" t="s">
        <v>16</v>
      </c>
      <c r="I27" s="7" t="s">
        <v>21</v>
      </c>
      <c r="J27" s="7" t="s">
        <v>87</v>
      </c>
    </row>
    <row r="28" customFormat="false" ht="19.5" hidden="false" customHeight="true" outlineLevel="0" collapsed="false">
      <c r="A28" s="11" t="n">
        <v>19</v>
      </c>
      <c r="B28" s="12" t="s">
        <v>74</v>
      </c>
      <c r="C28" s="12" t="s">
        <v>88</v>
      </c>
      <c r="D28" s="12" t="s">
        <v>89</v>
      </c>
      <c r="E28" s="11" t="n">
        <v>1</v>
      </c>
      <c r="F28" s="13" t="n">
        <v>2.5</v>
      </c>
      <c r="G28" s="14" t="n">
        <f aca="false">E28*F28</f>
        <v>2.5</v>
      </c>
      <c r="H28" s="15" t="s">
        <v>16</v>
      </c>
      <c r="I28" s="12" t="s">
        <v>21</v>
      </c>
      <c r="J28" s="12" t="s">
        <v>90</v>
      </c>
    </row>
    <row r="29" customFormat="false" ht="18" hidden="false" customHeight="true" outlineLevel="0" collapsed="false">
      <c r="A29" s="22" t="s">
        <v>91</v>
      </c>
      <c r="B29" s="22"/>
      <c r="C29" s="22"/>
      <c r="D29" s="22"/>
      <c r="E29" s="22"/>
      <c r="F29" s="22"/>
      <c r="G29" s="22"/>
      <c r="H29" s="22"/>
      <c r="I29" s="22"/>
      <c r="J29" s="22"/>
    </row>
    <row r="30" customFormat="false" ht="19.5" hidden="false" customHeight="true" outlineLevel="0" collapsed="false">
      <c r="A30" s="11" t="n">
        <v>20</v>
      </c>
      <c r="B30" s="12" t="s">
        <v>92</v>
      </c>
      <c r="C30" s="12" t="s">
        <v>93</v>
      </c>
      <c r="D30" s="12" t="s">
        <v>94</v>
      </c>
      <c r="E30" s="11" t="n">
        <v>1</v>
      </c>
      <c r="F30" s="13" t="n">
        <v>2</v>
      </c>
      <c r="G30" s="14" t="n">
        <f aca="false">E30*F30</f>
        <v>2</v>
      </c>
      <c r="H30" s="15" t="s">
        <v>16</v>
      </c>
      <c r="I30" s="12" t="s">
        <v>21</v>
      </c>
      <c r="J30" s="12" t="s">
        <v>95</v>
      </c>
    </row>
    <row r="31" customFormat="false" ht="19.5" hidden="false" customHeight="true" outlineLevel="0" collapsed="false">
      <c r="A31" s="6" t="n">
        <v>21</v>
      </c>
      <c r="B31" s="7" t="s">
        <v>96</v>
      </c>
      <c r="C31" s="7" t="s">
        <v>97</v>
      </c>
      <c r="D31" s="7" t="s">
        <v>98</v>
      </c>
      <c r="E31" s="6" t="n">
        <v>1</v>
      </c>
      <c r="F31" s="8" t="n">
        <v>5</v>
      </c>
      <c r="G31" s="9" t="n">
        <f aca="false">E31*F31</f>
        <v>5</v>
      </c>
      <c r="H31" s="10" t="s">
        <v>16</v>
      </c>
      <c r="I31" s="7" t="s">
        <v>21</v>
      </c>
      <c r="J31" s="7" t="s">
        <v>99</v>
      </c>
    </row>
    <row r="32" customFormat="false" ht="19.5" hidden="false" customHeight="true" outlineLevel="0" collapsed="false">
      <c r="A32" s="11" t="n">
        <v>22</v>
      </c>
      <c r="B32" s="12" t="s">
        <v>96</v>
      </c>
      <c r="C32" s="12" t="s">
        <v>100</v>
      </c>
      <c r="D32" s="12" t="s">
        <v>101</v>
      </c>
      <c r="E32" s="11" t="n">
        <v>1</v>
      </c>
      <c r="F32" s="13" t="n">
        <v>2</v>
      </c>
      <c r="G32" s="14" t="n">
        <f aca="false">E32*F32</f>
        <v>2</v>
      </c>
      <c r="H32" s="15" t="s">
        <v>16</v>
      </c>
      <c r="I32" s="12" t="s">
        <v>21</v>
      </c>
      <c r="J32" s="12" t="s">
        <v>102</v>
      </c>
    </row>
    <row r="33" customFormat="false" ht="19.5" hidden="false" customHeight="true" outlineLevel="0" collapsed="false">
      <c r="A33" s="6" t="n">
        <v>23</v>
      </c>
      <c r="B33" s="7" t="s">
        <v>96</v>
      </c>
      <c r="C33" s="7" t="s">
        <v>103</v>
      </c>
      <c r="D33" s="7" t="s">
        <v>104</v>
      </c>
      <c r="E33" s="6" t="n">
        <v>2</v>
      </c>
      <c r="F33" s="8" t="n">
        <v>1.5</v>
      </c>
      <c r="G33" s="9" t="n">
        <f aca="false">E33*F33</f>
        <v>3</v>
      </c>
      <c r="H33" s="23" t="s">
        <v>49</v>
      </c>
      <c r="I33" s="7" t="s">
        <v>31</v>
      </c>
      <c r="J33" s="7" t="s">
        <v>105</v>
      </c>
    </row>
    <row r="34" customFormat="false" ht="19.5" hidden="false" customHeight="true" outlineLevel="0" collapsed="false">
      <c r="A34" s="11" t="n">
        <v>24</v>
      </c>
      <c r="B34" s="12" t="s">
        <v>96</v>
      </c>
      <c r="C34" s="12" t="s">
        <v>106</v>
      </c>
      <c r="D34" s="12" t="s">
        <v>107</v>
      </c>
      <c r="E34" s="11" t="n">
        <v>1</v>
      </c>
      <c r="F34" s="13" t="n">
        <v>3</v>
      </c>
      <c r="G34" s="14" t="n">
        <f aca="false">E34*F34</f>
        <v>3</v>
      </c>
      <c r="H34" s="18" t="s">
        <v>49</v>
      </c>
      <c r="I34" s="12" t="s">
        <v>21</v>
      </c>
      <c r="J34" s="12" t="s">
        <v>108</v>
      </c>
    </row>
    <row r="35" customFormat="false" ht="18" hidden="false" customHeight="true" outlineLevel="0" collapsed="false">
      <c r="A35" s="24" t="s">
        <v>109</v>
      </c>
      <c r="B35" s="24"/>
      <c r="C35" s="24"/>
      <c r="D35" s="24"/>
      <c r="E35" s="24"/>
      <c r="F35" s="24"/>
      <c r="G35" s="24"/>
      <c r="H35" s="24"/>
      <c r="I35" s="24"/>
      <c r="J35" s="24"/>
    </row>
    <row r="36" customFormat="false" ht="19.5" hidden="false" customHeight="true" outlineLevel="0" collapsed="false">
      <c r="A36" s="11" t="n">
        <v>25</v>
      </c>
      <c r="B36" s="12" t="s">
        <v>110</v>
      </c>
      <c r="C36" s="12" t="s">
        <v>111</v>
      </c>
      <c r="D36" s="12" t="s">
        <v>112</v>
      </c>
      <c r="E36" s="11" t="n">
        <v>1</v>
      </c>
      <c r="F36" s="13" t="n">
        <v>8</v>
      </c>
      <c r="G36" s="14" t="n">
        <f aca="false">E36*F36</f>
        <v>8</v>
      </c>
      <c r="H36" s="15" t="s">
        <v>16</v>
      </c>
      <c r="I36" s="12" t="s">
        <v>21</v>
      </c>
      <c r="J36" s="12" t="s">
        <v>113</v>
      </c>
    </row>
    <row r="37" customFormat="false" ht="19.5" hidden="false" customHeight="true" outlineLevel="0" collapsed="false">
      <c r="A37" s="6" t="n">
        <v>26</v>
      </c>
      <c r="B37" s="7" t="s">
        <v>114</v>
      </c>
      <c r="C37" s="7" t="s">
        <v>115</v>
      </c>
      <c r="D37" s="7" t="s">
        <v>116</v>
      </c>
      <c r="E37" s="6" t="n">
        <v>1</v>
      </c>
      <c r="F37" s="8" t="n">
        <v>6</v>
      </c>
      <c r="G37" s="9" t="n">
        <f aca="false">E37*F37</f>
        <v>6</v>
      </c>
      <c r="H37" s="10" t="s">
        <v>16</v>
      </c>
      <c r="I37" s="7" t="s">
        <v>21</v>
      </c>
      <c r="J37" s="7" t="s">
        <v>117</v>
      </c>
    </row>
    <row r="38" customFormat="false" ht="19.5" hidden="false" customHeight="true" outlineLevel="0" collapsed="false">
      <c r="A38" s="11" t="n">
        <v>27</v>
      </c>
      <c r="B38" s="12" t="s">
        <v>114</v>
      </c>
      <c r="C38" s="12" t="s">
        <v>118</v>
      </c>
      <c r="D38" s="12" t="s">
        <v>119</v>
      </c>
      <c r="E38" s="11" t="n">
        <v>1</v>
      </c>
      <c r="F38" s="13" t="n">
        <v>3</v>
      </c>
      <c r="G38" s="14" t="n">
        <f aca="false">E38*F38</f>
        <v>3</v>
      </c>
      <c r="H38" s="18" t="s">
        <v>49</v>
      </c>
      <c r="I38" s="12" t="s">
        <v>21</v>
      </c>
      <c r="J38" s="12" t="s">
        <v>120</v>
      </c>
    </row>
    <row r="40" customFormat="false" ht="15" hidden="false" customHeight="true" outlineLevel="0" collapsed="false">
      <c r="A40" s="25" t="s">
        <v>121</v>
      </c>
      <c r="B40" s="25"/>
      <c r="C40" s="25"/>
      <c r="D40" s="25"/>
      <c r="E40" s="25"/>
      <c r="F40" s="25"/>
      <c r="G40" s="26" t="n">
        <f aca="false">SUM(G5,G6,G7,G9,G10,G11,G13,G14,G16,G17,G18,G20,G21,G22,G24,G25,G26,G27,G28,G30,G31,G32,G33,G34,G36,G37,G38)</f>
        <v>199.8</v>
      </c>
      <c r="H40" s="27"/>
      <c r="I40" s="27"/>
      <c r="J40" s="27"/>
    </row>
    <row r="41" customFormat="false" ht="15" hidden="false" customHeight="true" outlineLevel="0" collapsed="false">
      <c r="A41" s="28" t="s">
        <v>122</v>
      </c>
      <c r="B41" s="28"/>
      <c r="C41" s="28"/>
      <c r="D41" s="28"/>
      <c r="E41" s="28"/>
      <c r="F41" s="28"/>
      <c r="G41" s="29" t="n">
        <f aca="false">SUMIF(H5:H39,"MUST HAVE",G5:G39)</f>
        <v>184.8</v>
      </c>
      <c r="H41" s="30"/>
      <c r="I41" s="30"/>
      <c r="J41" s="30"/>
    </row>
    <row r="43" customFormat="false" ht="15" hidden="false" customHeight="true" outlineLevel="0" collapsed="false">
      <c r="A43" s="31" t="s">
        <v>123</v>
      </c>
      <c r="B43" s="31"/>
      <c r="C43" s="31"/>
      <c r="D43" s="31"/>
      <c r="E43" s="31"/>
      <c r="F43" s="31"/>
      <c r="G43" s="31"/>
      <c r="H43" s="31"/>
      <c r="I43" s="31"/>
      <c r="J43" s="31"/>
    </row>
  </sheetData>
  <mergeCells count="13">
    <mergeCell ref="A1:J1"/>
    <mergeCell ref="A2:J2"/>
    <mergeCell ref="A4:J4"/>
    <mergeCell ref="A8:J8"/>
    <mergeCell ref="A12:J12"/>
    <mergeCell ref="A15:J15"/>
    <mergeCell ref="A19:J19"/>
    <mergeCell ref="A23:J23"/>
    <mergeCell ref="A29:J29"/>
    <mergeCell ref="A35:J35"/>
    <mergeCell ref="A40:F40"/>
    <mergeCell ref="A41:F41"/>
    <mergeCell ref="A43:J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4" min="4" style="1" width="18"/>
  </cols>
  <sheetData>
    <row r="1" customFormat="false" ht="36" hidden="false" customHeight="true" outlineLevel="0" collapsed="false">
      <c r="A1" s="32" t="s">
        <v>124</v>
      </c>
      <c r="B1" s="32"/>
      <c r="C1" s="32"/>
      <c r="D1" s="32"/>
    </row>
    <row r="2" customFormat="false" ht="18" hidden="false" customHeight="true" outlineLevel="0" collapsed="false">
      <c r="A2" s="33" t="s">
        <v>125</v>
      </c>
      <c r="B2" s="33"/>
      <c r="C2" s="33"/>
      <c r="D2" s="33"/>
    </row>
    <row r="4" customFormat="false" ht="15" hidden="false" customHeight="true" outlineLevel="0" collapsed="false">
      <c r="A4" s="4" t="s">
        <v>126</v>
      </c>
      <c r="B4" s="4" t="s">
        <v>127</v>
      </c>
      <c r="C4" s="4" t="s">
        <v>128</v>
      </c>
      <c r="D4" s="4" t="s">
        <v>11</v>
      </c>
    </row>
    <row r="5" customFormat="false" ht="15" hidden="false" customHeight="true" outlineLevel="0" collapsed="false">
      <c r="A5" s="34" t="s">
        <v>13</v>
      </c>
      <c r="B5" s="9" t="n">
        <f aca="false">BOM!G4+BOM!G5+BOM!G6</f>
        <v>53</v>
      </c>
      <c r="C5" s="35" t="n">
        <f aca="false">IFERROR(B5/B14,0)</f>
        <v>0</v>
      </c>
      <c r="D5" s="36"/>
    </row>
    <row r="6" customFormat="false" ht="15" hidden="false" customHeight="true" outlineLevel="0" collapsed="false">
      <c r="A6" s="37" t="s">
        <v>129</v>
      </c>
      <c r="B6" s="14" t="n">
        <f aca="false">BOM!G8+BOM!G9+BOM!G10</f>
        <v>9</v>
      </c>
      <c r="C6" s="38" t="n">
        <f aca="false">IFERROR(B6/B14,0)</f>
        <v>0</v>
      </c>
      <c r="D6" s="36"/>
    </row>
    <row r="7" customFormat="false" ht="15" hidden="false" customHeight="true" outlineLevel="0" collapsed="false">
      <c r="A7" s="34" t="s">
        <v>42</v>
      </c>
      <c r="B7" s="9" t="n">
        <f aca="false">BOM!G12+BOM!G13</f>
        <v>25</v>
      </c>
      <c r="C7" s="35" t="n">
        <f aca="false">IFERROR(B7/B14,0)</f>
        <v>0</v>
      </c>
      <c r="D7" s="36"/>
    </row>
    <row r="8" customFormat="false" ht="15" hidden="false" customHeight="true" outlineLevel="0" collapsed="false">
      <c r="A8" s="37" t="s">
        <v>52</v>
      </c>
      <c r="B8" s="14" t="n">
        <f aca="false">BOM!G15+BOM!G16+BOM!G17</f>
        <v>10</v>
      </c>
      <c r="C8" s="38" t="n">
        <f aca="false">IFERROR(B8/B14,0)</f>
        <v>0</v>
      </c>
      <c r="D8" s="36"/>
    </row>
    <row r="9" customFormat="false" ht="15" hidden="false" customHeight="true" outlineLevel="0" collapsed="false">
      <c r="A9" s="34" t="s">
        <v>63</v>
      </c>
      <c r="B9" s="9" t="n">
        <f aca="false">BOM!G19+BOM!G20+BOM!G21</f>
        <v>22</v>
      </c>
      <c r="C9" s="35" t="n">
        <f aca="false">IFERROR(B9/B14,0)</f>
        <v>0</v>
      </c>
      <c r="D9" s="36"/>
    </row>
    <row r="10" customFormat="false" ht="15" hidden="false" customHeight="true" outlineLevel="0" collapsed="false">
      <c r="A10" s="37" t="s">
        <v>74</v>
      </c>
      <c r="B10" s="14" t="n">
        <f aca="false">BOM!G23+BOM!G24+BOM!G25+BOM!G26+BOM!G27</f>
        <v>27.3</v>
      </c>
      <c r="C10" s="38" t="n">
        <f aca="false">IFERROR(B10/B14,0)</f>
        <v>0</v>
      </c>
      <c r="D10" s="36"/>
    </row>
    <row r="11" customFormat="false" ht="15" hidden="false" customHeight="true" outlineLevel="0" collapsed="false">
      <c r="A11" s="34" t="s">
        <v>130</v>
      </c>
      <c r="B11" s="9" t="n">
        <f aca="false">BOM!G29+BOM!G30+BOM!G31+BOM!G32+BOM!G33</f>
        <v>12</v>
      </c>
      <c r="C11" s="35" t="n">
        <f aca="false">IFERROR(B11/B14,0)</f>
        <v>0</v>
      </c>
      <c r="D11" s="36"/>
    </row>
    <row r="12" customFormat="false" ht="15" hidden="false" customHeight="true" outlineLevel="0" collapsed="false">
      <c r="A12" s="37" t="s">
        <v>131</v>
      </c>
      <c r="B12" s="14" t="n">
        <f aca="false">BOM!G35+BOM!G36+BOM!G37</f>
        <v>14</v>
      </c>
      <c r="C12" s="38" t="n">
        <f aca="false">IFERROR(B12/B14,0)</f>
        <v>0</v>
      </c>
      <c r="D12" s="36"/>
    </row>
    <row r="13" customFormat="false" ht="15" hidden="false" customHeight="true" outlineLevel="0" collapsed="false">
      <c r="A13" s="39" t="s">
        <v>132</v>
      </c>
      <c r="B13" s="40" t="n">
        <f aca="false">SUM(B5:B12)</f>
        <v>172.3</v>
      </c>
      <c r="C13" s="39" t="s">
        <v>133</v>
      </c>
      <c r="D13" s="27"/>
    </row>
    <row r="15" customFormat="false" ht="21.75" hidden="false" customHeight="true" outlineLevel="0" collapsed="false">
      <c r="A15" s="41" t="s">
        <v>134</v>
      </c>
      <c r="B15" s="41"/>
      <c r="C15" s="41"/>
      <c r="D15" s="41"/>
    </row>
    <row r="16" customFormat="false" ht="15" hidden="false" customHeight="true" outlineLevel="0" collapsed="false">
      <c r="A16" s="37" t="s">
        <v>135</v>
      </c>
      <c r="B16" s="9" t="s">
        <v>136</v>
      </c>
      <c r="C16" s="36"/>
      <c r="D16" s="36"/>
    </row>
    <row r="17" customFormat="false" ht="15" hidden="false" customHeight="true" outlineLevel="0" collapsed="false">
      <c r="A17" s="37" t="s">
        <v>137</v>
      </c>
      <c r="B17" s="9" t="n">
        <f aca="false">B13</f>
        <v>172.3</v>
      </c>
      <c r="C17" s="36"/>
      <c r="D17" s="36"/>
    </row>
    <row r="18" customFormat="false" ht="15" hidden="false" customHeight="true" outlineLevel="0" collapsed="false">
      <c r="A18" s="37" t="s">
        <v>138</v>
      </c>
      <c r="B18" s="9" t="n">
        <f aca="false">200-B13</f>
        <v>27.7</v>
      </c>
      <c r="C18" s="36"/>
      <c r="D18" s="36"/>
    </row>
    <row r="19" customFormat="false" ht="15" hidden="false" customHeight="true" outlineLevel="0" collapsed="false">
      <c r="A19" s="37" t="s">
        <v>139</v>
      </c>
      <c r="B19" s="6" t="str">
        <f aca="false">IF(B13&lt;=200,"✅ Within Budget","⚠️ Over Budget")</f>
        <v>✅ Within Budget</v>
      </c>
      <c r="C19" s="36"/>
      <c r="D19" s="36"/>
    </row>
  </sheetData>
  <mergeCells count="7">
    <mergeCell ref="A1:D1"/>
    <mergeCell ref="A2:D2"/>
    <mergeCell ref="A15:D15"/>
    <mergeCell ref="C16:D16"/>
    <mergeCell ref="C17:D17"/>
    <mergeCell ref="C18:D18"/>
    <mergeCell ref="C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5" min="4" style="1" width="14"/>
    <col collapsed="false" customWidth="true" hidden="false" outlineLevel="0" max="6" min="6" style="1" width="16"/>
    <col collapsed="false" customWidth="true" hidden="false" outlineLevel="0" max="7" min="7" style="1" width="20"/>
  </cols>
  <sheetData>
    <row r="1" customFormat="false" ht="36" hidden="false" customHeight="true" outlineLevel="0" collapsed="false">
      <c r="A1" s="32" t="s">
        <v>140</v>
      </c>
      <c r="B1" s="32"/>
      <c r="C1" s="32"/>
      <c r="D1" s="32"/>
      <c r="E1" s="32"/>
      <c r="F1" s="32"/>
      <c r="G1" s="32"/>
    </row>
    <row r="3" customFormat="false" ht="15" hidden="false" customHeight="true" outlineLevel="0" collapsed="false">
      <c r="A3" s="4" t="s">
        <v>141</v>
      </c>
      <c r="B3" s="4" t="s">
        <v>142</v>
      </c>
      <c r="C3" s="4" t="s">
        <v>10</v>
      </c>
      <c r="D3" s="4" t="s">
        <v>6</v>
      </c>
      <c r="E3" s="4" t="s">
        <v>143</v>
      </c>
      <c r="F3" s="4" t="s">
        <v>139</v>
      </c>
      <c r="G3" s="4" t="s">
        <v>144</v>
      </c>
    </row>
    <row r="4" customFormat="false" ht="18" hidden="false" customHeight="true" outlineLevel="0" collapsed="false">
      <c r="A4" s="42" t="s">
        <v>145</v>
      </c>
      <c r="B4" s="12" t="s">
        <v>146</v>
      </c>
      <c r="C4" s="12" t="s">
        <v>147</v>
      </c>
      <c r="D4" s="43" t="n">
        <v>1</v>
      </c>
      <c r="E4" s="13" t="n">
        <v>45</v>
      </c>
      <c r="F4" s="44" t="s">
        <v>148</v>
      </c>
      <c r="G4" s="45"/>
    </row>
    <row r="5" customFormat="false" ht="18" hidden="false" customHeight="true" outlineLevel="0" collapsed="false">
      <c r="A5" s="46" t="s">
        <v>145</v>
      </c>
      <c r="B5" s="7" t="s">
        <v>149</v>
      </c>
      <c r="C5" s="7" t="s">
        <v>21</v>
      </c>
      <c r="D5" s="47" t="n">
        <v>1</v>
      </c>
      <c r="E5" s="8" t="n">
        <v>8</v>
      </c>
      <c r="F5" s="48" t="s">
        <v>148</v>
      </c>
      <c r="G5" s="49"/>
    </row>
    <row r="6" customFormat="false" ht="18" hidden="false" customHeight="true" outlineLevel="0" collapsed="false">
      <c r="A6" s="42" t="s">
        <v>145</v>
      </c>
      <c r="B6" s="12" t="s">
        <v>150</v>
      </c>
      <c r="C6" s="12" t="s">
        <v>25</v>
      </c>
      <c r="D6" s="43" t="n">
        <v>1</v>
      </c>
      <c r="E6" s="13" t="n">
        <v>5</v>
      </c>
      <c r="F6" s="44" t="s">
        <v>148</v>
      </c>
      <c r="G6" s="45"/>
    </row>
    <row r="7" customFormat="false" ht="18" hidden="false" customHeight="true" outlineLevel="0" collapsed="false">
      <c r="A7" s="46" t="s">
        <v>145</v>
      </c>
      <c r="B7" s="7" t="s">
        <v>151</v>
      </c>
      <c r="C7" s="7" t="s">
        <v>31</v>
      </c>
      <c r="D7" s="47" t="n">
        <v>2</v>
      </c>
      <c r="E7" s="8" t="n">
        <v>2.5</v>
      </c>
      <c r="F7" s="48" t="s">
        <v>148</v>
      </c>
      <c r="G7" s="49"/>
    </row>
    <row r="8" customFormat="false" ht="18" hidden="false" customHeight="true" outlineLevel="0" collapsed="false">
      <c r="A8" s="42" t="s">
        <v>145</v>
      </c>
      <c r="B8" s="12" t="s">
        <v>152</v>
      </c>
      <c r="C8" s="12" t="s">
        <v>25</v>
      </c>
      <c r="D8" s="43" t="n">
        <v>2</v>
      </c>
      <c r="E8" s="13" t="n">
        <v>2</v>
      </c>
      <c r="F8" s="44" t="s">
        <v>148</v>
      </c>
      <c r="G8" s="45"/>
    </row>
    <row r="9" customFormat="false" ht="18" hidden="false" customHeight="true" outlineLevel="0" collapsed="false">
      <c r="A9" s="46" t="s">
        <v>145</v>
      </c>
      <c r="B9" s="7" t="s">
        <v>153</v>
      </c>
      <c r="C9" s="7" t="s">
        <v>39</v>
      </c>
      <c r="D9" s="47" t="n">
        <v>1</v>
      </c>
      <c r="E9" s="8" t="n">
        <v>5</v>
      </c>
      <c r="F9" s="48" t="s">
        <v>148</v>
      </c>
      <c r="G9" s="49"/>
    </row>
    <row r="10" customFormat="false" ht="18" hidden="false" customHeight="true" outlineLevel="0" collapsed="false">
      <c r="A10" s="42" t="s">
        <v>145</v>
      </c>
      <c r="B10" s="12" t="s">
        <v>154</v>
      </c>
      <c r="C10" s="12" t="s">
        <v>45</v>
      </c>
      <c r="D10" s="43" t="n">
        <v>1</v>
      </c>
      <c r="E10" s="13" t="n">
        <v>25</v>
      </c>
      <c r="F10" s="44" t="s">
        <v>148</v>
      </c>
      <c r="G10" s="45"/>
    </row>
    <row r="11" customFormat="false" ht="18" hidden="false" customHeight="true" outlineLevel="0" collapsed="false">
      <c r="A11" s="46" t="s">
        <v>145</v>
      </c>
      <c r="B11" s="7" t="s">
        <v>155</v>
      </c>
      <c r="C11" s="7" t="s">
        <v>21</v>
      </c>
      <c r="D11" s="47" t="n">
        <v>1</v>
      </c>
      <c r="E11" s="8" t="n">
        <v>2</v>
      </c>
      <c r="F11" s="48" t="s">
        <v>148</v>
      </c>
      <c r="G11" s="49"/>
    </row>
    <row r="12" customFormat="false" ht="18" hidden="false" customHeight="true" outlineLevel="0" collapsed="false">
      <c r="A12" s="42" t="s">
        <v>145</v>
      </c>
      <c r="B12" s="12" t="s">
        <v>156</v>
      </c>
      <c r="C12" s="12" t="s">
        <v>25</v>
      </c>
      <c r="D12" s="43" t="n">
        <v>1</v>
      </c>
      <c r="E12" s="13" t="n">
        <v>7</v>
      </c>
      <c r="F12" s="44" t="s">
        <v>148</v>
      </c>
      <c r="G12" s="45"/>
    </row>
    <row r="13" customFormat="false" ht="18" hidden="false" customHeight="true" outlineLevel="0" collapsed="false">
      <c r="A13" s="46" t="s">
        <v>145</v>
      </c>
      <c r="B13" s="7" t="s">
        <v>157</v>
      </c>
      <c r="C13" s="7" t="s">
        <v>25</v>
      </c>
      <c r="D13" s="47" t="n">
        <v>1</v>
      </c>
      <c r="E13" s="8" t="n">
        <v>3</v>
      </c>
      <c r="F13" s="48" t="s">
        <v>148</v>
      </c>
      <c r="G13" s="49"/>
    </row>
    <row r="14" customFormat="false" ht="18" hidden="false" customHeight="true" outlineLevel="0" collapsed="false">
      <c r="A14" s="42" t="s">
        <v>145</v>
      </c>
      <c r="B14" s="12" t="s">
        <v>158</v>
      </c>
      <c r="C14" s="12" t="s">
        <v>21</v>
      </c>
      <c r="D14" s="43" t="n">
        <v>2</v>
      </c>
      <c r="E14" s="13" t="n">
        <v>1.5</v>
      </c>
      <c r="F14" s="44" t="s">
        <v>148</v>
      </c>
      <c r="G14" s="45"/>
    </row>
    <row r="15" customFormat="false" ht="18" hidden="false" customHeight="true" outlineLevel="0" collapsed="false">
      <c r="A15" s="46" t="s">
        <v>145</v>
      </c>
      <c r="B15" s="7" t="s">
        <v>159</v>
      </c>
      <c r="C15" s="7" t="s">
        <v>25</v>
      </c>
      <c r="D15" s="47" t="n">
        <v>1</v>
      </c>
      <c r="E15" s="8" t="n">
        <v>18</v>
      </c>
      <c r="F15" s="48" t="s">
        <v>148</v>
      </c>
      <c r="G15" s="49"/>
    </row>
    <row r="16" customFormat="false" ht="18" hidden="false" customHeight="true" outlineLevel="0" collapsed="false">
      <c r="A16" s="42" t="s">
        <v>145</v>
      </c>
      <c r="B16" s="12" t="s">
        <v>160</v>
      </c>
      <c r="C16" s="12" t="s">
        <v>21</v>
      </c>
      <c r="D16" s="43" t="n">
        <v>1</v>
      </c>
      <c r="E16" s="13" t="n">
        <v>4</v>
      </c>
      <c r="F16" s="44" t="s">
        <v>148</v>
      </c>
      <c r="G16" s="45"/>
    </row>
    <row r="17" customFormat="false" ht="18" hidden="false" customHeight="true" outlineLevel="0" collapsed="false">
      <c r="A17" s="46" t="s">
        <v>145</v>
      </c>
      <c r="B17" s="7" t="s">
        <v>161</v>
      </c>
      <c r="C17" s="7" t="s">
        <v>31</v>
      </c>
      <c r="D17" s="47" t="n">
        <v>4</v>
      </c>
      <c r="E17" s="8" t="n">
        <v>1</v>
      </c>
      <c r="F17" s="48" t="s">
        <v>148</v>
      </c>
      <c r="G17" s="49"/>
    </row>
    <row r="18" customFormat="false" ht="18" hidden="false" customHeight="true" outlineLevel="0" collapsed="false">
      <c r="A18" s="42" t="s">
        <v>145</v>
      </c>
      <c r="B18" s="12" t="s">
        <v>162</v>
      </c>
      <c r="C18" s="12" t="s">
        <v>77</v>
      </c>
      <c r="D18" s="43" t="n">
        <v>1</v>
      </c>
      <c r="E18" s="13" t="n">
        <v>22</v>
      </c>
      <c r="F18" s="44" t="s">
        <v>148</v>
      </c>
      <c r="G18" s="45"/>
    </row>
    <row r="19" customFormat="false" ht="18" hidden="false" customHeight="true" outlineLevel="0" collapsed="false">
      <c r="A19" s="46" t="s">
        <v>145</v>
      </c>
      <c r="B19" s="7" t="s">
        <v>163</v>
      </c>
      <c r="C19" s="7" t="s">
        <v>31</v>
      </c>
      <c r="D19" s="47" t="n">
        <v>2</v>
      </c>
      <c r="E19" s="8" t="n">
        <v>1.5</v>
      </c>
      <c r="F19" s="48" t="s">
        <v>148</v>
      </c>
      <c r="G19" s="49"/>
    </row>
    <row r="20" customFormat="false" ht="18" hidden="false" customHeight="true" outlineLevel="0" collapsed="false">
      <c r="A20" s="42" t="s">
        <v>145</v>
      </c>
      <c r="B20" s="12" t="s">
        <v>83</v>
      </c>
      <c r="C20" s="12" t="s">
        <v>31</v>
      </c>
      <c r="D20" s="43" t="n">
        <v>1</v>
      </c>
      <c r="E20" s="13" t="n">
        <v>0.8</v>
      </c>
      <c r="F20" s="44" t="s">
        <v>148</v>
      </c>
      <c r="G20" s="45"/>
    </row>
    <row r="21" customFormat="false" ht="18" hidden="false" customHeight="true" outlineLevel="0" collapsed="false">
      <c r="A21" s="46" t="s">
        <v>145</v>
      </c>
      <c r="B21" s="7" t="s">
        <v>164</v>
      </c>
      <c r="C21" s="7" t="s">
        <v>21</v>
      </c>
      <c r="D21" s="47" t="n">
        <v>1</v>
      </c>
      <c r="E21" s="8" t="n">
        <v>1.5</v>
      </c>
      <c r="F21" s="48" t="s">
        <v>148</v>
      </c>
      <c r="G21" s="49"/>
    </row>
    <row r="22" customFormat="false" ht="18" hidden="false" customHeight="true" outlineLevel="0" collapsed="false">
      <c r="A22" s="42" t="s">
        <v>145</v>
      </c>
      <c r="B22" s="12" t="s">
        <v>165</v>
      </c>
      <c r="C22" s="12" t="s">
        <v>21</v>
      </c>
      <c r="D22" s="43" t="n">
        <v>1</v>
      </c>
      <c r="E22" s="13" t="n">
        <v>2.5</v>
      </c>
      <c r="F22" s="44" t="s">
        <v>148</v>
      </c>
      <c r="G22" s="45"/>
    </row>
    <row r="23" customFormat="false" ht="18" hidden="false" customHeight="true" outlineLevel="0" collapsed="false">
      <c r="A23" s="46" t="s">
        <v>145</v>
      </c>
      <c r="B23" s="7" t="s">
        <v>166</v>
      </c>
      <c r="C23" s="7" t="s">
        <v>21</v>
      </c>
      <c r="D23" s="47" t="n">
        <v>1</v>
      </c>
      <c r="E23" s="8" t="n">
        <v>2</v>
      </c>
      <c r="F23" s="48" t="s">
        <v>148</v>
      </c>
      <c r="G23" s="49"/>
    </row>
    <row r="24" customFormat="false" ht="18" hidden="false" customHeight="true" outlineLevel="0" collapsed="false">
      <c r="A24" s="42" t="s">
        <v>145</v>
      </c>
      <c r="B24" s="12" t="s">
        <v>97</v>
      </c>
      <c r="C24" s="12" t="s">
        <v>21</v>
      </c>
      <c r="D24" s="43" t="n">
        <v>1</v>
      </c>
      <c r="E24" s="13" t="n">
        <v>5</v>
      </c>
      <c r="F24" s="44" t="s">
        <v>148</v>
      </c>
      <c r="G24" s="45"/>
    </row>
    <row r="25" customFormat="false" ht="18" hidden="false" customHeight="true" outlineLevel="0" collapsed="false">
      <c r="A25" s="46" t="s">
        <v>145</v>
      </c>
      <c r="B25" s="7" t="s">
        <v>167</v>
      </c>
      <c r="C25" s="7" t="s">
        <v>21</v>
      </c>
      <c r="D25" s="47" t="n">
        <v>1</v>
      </c>
      <c r="E25" s="8" t="n">
        <v>2</v>
      </c>
      <c r="F25" s="48" t="s">
        <v>148</v>
      </c>
      <c r="G25" s="49"/>
    </row>
    <row r="26" customFormat="false" ht="18" hidden="false" customHeight="true" outlineLevel="0" collapsed="false">
      <c r="A26" s="42" t="s">
        <v>145</v>
      </c>
      <c r="B26" s="12" t="s">
        <v>168</v>
      </c>
      <c r="C26" s="12" t="s">
        <v>31</v>
      </c>
      <c r="D26" s="43" t="n">
        <v>2</v>
      </c>
      <c r="E26" s="13" t="n">
        <v>1.5</v>
      </c>
      <c r="F26" s="44" t="s">
        <v>148</v>
      </c>
      <c r="G26" s="45"/>
    </row>
    <row r="27" customFormat="false" ht="18" hidden="false" customHeight="true" outlineLevel="0" collapsed="false">
      <c r="A27" s="46" t="s">
        <v>145</v>
      </c>
      <c r="B27" s="7" t="s">
        <v>169</v>
      </c>
      <c r="C27" s="7" t="s">
        <v>21</v>
      </c>
      <c r="D27" s="47" t="n">
        <v>1</v>
      </c>
      <c r="E27" s="8" t="n">
        <v>3</v>
      </c>
      <c r="F27" s="48" t="s">
        <v>148</v>
      </c>
      <c r="G27" s="49"/>
    </row>
    <row r="28" customFormat="false" ht="18" hidden="false" customHeight="true" outlineLevel="0" collapsed="false">
      <c r="A28" s="42" t="s">
        <v>145</v>
      </c>
      <c r="B28" s="12" t="s">
        <v>170</v>
      </c>
      <c r="C28" s="12" t="s">
        <v>21</v>
      </c>
      <c r="D28" s="43" t="n">
        <v>1</v>
      </c>
      <c r="E28" s="13" t="n">
        <v>8</v>
      </c>
      <c r="F28" s="44" t="s">
        <v>148</v>
      </c>
      <c r="G28" s="45"/>
    </row>
    <row r="29" customFormat="false" ht="18" hidden="false" customHeight="true" outlineLevel="0" collapsed="false">
      <c r="A29" s="46" t="s">
        <v>145</v>
      </c>
      <c r="B29" s="7" t="s">
        <v>171</v>
      </c>
      <c r="C29" s="7" t="s">
        <v>21</v>
      </c>
      <c r="D29" s="47" t="n">
        <v>1</v>
      </c>
      <c r="E29" s="8" t="n">
        <v>6</v>
      </c>
      <c r="F29" s="48" t="s">
        <v>148</v>
      </c>
      <c r="G29" s="49"/>
    </row>
    <row r="30" customFormat="false" ht="18" hidden="false" customHeight="true" outlineLevel="0" collapsed="false">
      <c r="A30" s="42" t="s">
        <v>145</v>
      </c>
      <c r="B30" s="12" t="s">
        <v>172</v>
      </c>
      <c r="C30" s="12" t="s">
        <v>21</v>
      </c>
      <c r="D30" s="43" t="n">
        <v>1</v>
      </c>
      <c r="E30" s="13" t="n">
        <v>3</v>
      </c>
      <c r="F30" s="44" t="s">
        <v>148</v>
      </c>
      <c r="G30" s="45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2026-02-19T06:59:22Z</dcterms:created>
  <dc:creator>openpyxl</dc:creator>
  <dc:description/>
  <dc:language>en-US</dc:language>
  <cp:lastModifiedBy/>
  <dcterms:modified xsi:type="dcterms:W3CDTF">2026-02-19T06:59:34Z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